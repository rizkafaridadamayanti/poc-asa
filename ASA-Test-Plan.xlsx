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poc-asa\"/>
    </mc:Choice>
  </mc:AlternateContent>
  <xr:revisionPtr revIDLastSave="0" documentId="13_ncr:1_{1800CAC9-D95C-4E49-9323-0551D6A9FD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hecklist Uji" sheetId="1" r:id="rId1"/>
    <sheet name="Ringkasan" sheetId="2" r:id="rId2"/>
    <sheet name="Persiapan &amp; Blocker" sheetId="3" r:id="rId3"/>
  </sheets>
  <definedNames>
    <definedName name="_xlnm._FilterDatabase" localSheetId="0" hidden="1">'Checklist Uji'!$A$1:$K$51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5" i="2"/>
  <c r="B14" i="2"/>
  <c r="B13" i="2"/>
  <c r="B12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<sst xmlns="http://schemas.openxmlformats.org/spreadsheetml/2006/main" count="455" uniqueCount="265">
  <si>
    <t>ID</t>
  </si>
  <si>
    <t>Bagian</t>
  </si>
  <si>
    <t>Judul</t>
  </si>
  <si>
    <t>Langkah</t>
  </si>
  <si>
    <t>Hasil Diharapkan</t>
  </si>
  <si>
    <t>Butuh LLM</t>
  </si>
  <si>
    <t>Inti</t>
  </si>
  <si>
    <t>Status</t>
  </si>
  <si>
    <t>Catatan / Bukti</t>
  </si>
  <si>
    <t>Penguji</t>
  </si>
  <si>
    <t>Tanggal</t>
  </si>
  <si>
    <t>A1</t>
  </si>
  <si>
    <t>Persiapan &amp; Autentikasi</t>
  </si>
  <si>
    <t>Backend &amp; web hidup</t>
  </si>
  <si>
    <t>1. curl -s localhost:3000/health
2. Buka localhost:5174 di browser.</t>
  </si>
  <si>
    <t>Respons {"ok":true,"connected":true}; halaman login ASA Bridge tampil.</t>
  </si>
  <si>
    <t>-</t>
  </si>
  <si>
    <t>Belum</t>
  </si>
  <si>
    <t>A2</t>
  </si>
  <si>
    <t>Login</t>
  </si>
  <si>
    <t>Isi username &amp; password admin, klik 'Masuk ke Dashboard'.</t>
  </si>
  <si>
    <t>Masuk ke Dashboard; nama akun &amp; label ADMIN PUSAT muncul di kanan atas.</t>
  </si>
  <si>
    <t>A3</t>
  </si>
  <si>
    <t>Daftar akun baru</t>
  </si>
  <si>
    <t>Halaman login -&gt; 'Daftar Akun Baru'. Isi username baru + password (&gt;=6) + ulangi.</t>
  </si>
  <si>
    <t>Akun dibuat &amp; langsung masuk Dashboard. Password &lt;6 / tidak sama -&gt; error jelas.</t>
  </si>
  <si>
    <t>A4</t>
  </si>
  <si>
    <t>Logout</t>
  </si>
  <si>
    <t>Menu akun kanan atas -&gt; Logout.</t>
  </si>
  <si>
    <t>Kembali ke /login; membuka / lagi memaksa login ulang.</t>
  </si>
  <si>
    <t>A5</t>
  </si>
  <si>
    <t>Status bridge WhatsApp</t>
  </si>
  <si>
    <t>Klik pil CONNECTED di topbar.</t>
  </si>
  <si>
    <t>Popup menampilkan nama perangkat, nomor bot, platform.</t>
  </si>
  <si>
    <t>A6</t>
  </si>
  <si>
    <t>Reconnect tanpa QR baru</t>
  </si>
  <si>
    <t>Hentikan backend, jalankan npm run dev lagi.</t>
  </si>
  <si>
    <t>Log 'wa connected' muncul tanpa minta scan QR ulang (sesi di auth_session/).</t>
  </si>
  <si>
    <t>B1</t>
  </si>
  <si>
    <t>Bridge WhatsApp - Terima &amp; Kirim</t>
  </si>
  <si>
    <t>Pesan grup masuk</t>
  </si>
  <si>
    <t>Dari nomor uji, kirim teks di grup yang diikuti bot. Buka menu Messages.</t>
  </si>
  <si>
    <t>Pesan muncul &lt;5 detik dengan badge GRUP; toast 'New message' muncul.</t>
  </si>
  <si>
    <t>B2</t>
  </si>
  <si>
    <t>Japri masuk</t>
  </si>
  <si>
    <t>Kirim pesan teks langsung (japri) ke nomor bot.</t>
  </si>
  <si>
    <t>Muncul di Messages dengan badge PERSONAL.</t>
  </si>
  <si>
    <t>B3</t>
  </si>
  <si>
    <t>Media (foto)</t>
  </si>
  <si>
    <t>Kirim foto di grup. Di Messages klik baris pesan untuk buka preview.</t>
  </si>
  <si>
    <t>Tipe pesan Foto; preview menampilkan gambar aslinya.</t>
  </si>
  <si>
    <t>B4</t>
  </si>
  <si>
    <t>Kirim pesan via API</t>
  </si>
  <si>
    <t>curl -X POST localhost:3000/api/send -H 'content-type: application/json' -d '{"to":"628xxxx","text":"tes dari poc-asa"}'</t>
  </si>
  <si>
    <t>Pesan sampai ke HP tujuan; tercatat di Outbound logs dengan ok:true.</t>
  </si>
  <si>
    <t>B5</t>
  </si>
  <si>
    <t>Jeda kirim (anti-blast)</t>
  </si>
  <si>
    <t>Picu 2+ pesan keluar berturut-turut (mis. fan-out di E6).</t>
  </si>
  <si>
    <t>Ada jeda 1-3 detik antar pesan keluar (SEND_MIN/MAX_DELAY_MS).</t>
  </si>
  <si>
    <t>B6</t>
  </si>
  <si>
    <t>Auto-registrasi grup baru</t>
  </si>
  <si>
    <t>Tambahkan bot ke grup WhatsApp baru, kirim 1 pesan. Buka menu Groups.</t>
  </si>
  <si>
    <t>Grup muncul otomatis dengan status 'Belum diatur' (scope kosong).</t>
  </si>
  <si>
    <t>B7</t>
  </si>
  <si>
    <t>Sync keanggotaan grup</t>
  </si>
  <si>
    <t>Menu Groups -&gt; 'Sync dari WhatsApp'. Klik ikon i pada sebuah grup.</t>
  </si>
  <si>
    <t>Pesan 'Sinkron selesai'; di popup, Jumlah Anggota &gt; 0. Auto-sync juga jalan ~15 dtk setelah start &amp; tiap 3 jam.</t>
  </si>
  <si>
    <t>C1</t>
  </si>
  <si>
    <t>/tanya &amp; ACL Pusat / Dusun / Anggota</t>
  </si>
  <si>
    <t>Grup Pusat - lihat semua</t>
  </si>
  <si>
    <t>Ketik /tanya apa saja yang dibahas belakangan ini? di grup Pusat.</t>
  </si>
  <si>
    <t>Jawaban menyinggung isi dari grup Dusun &amp; Anggota juga, bukan cuma grup Pusat.</t>
  </si>
  <si>
    <t>Ya</t>
  </si>
  <si>
    <t>C2</t>
  </si>
  <si>
    <t>Grup Dusun D1 - lingkup dusun</t>
  </si>
  <si>
    <t>/tanya pertanyaan yang sama di grup Dusun (DSN-01).</t>
  </si>
  <si>
    <t>Jawaban hanya dari grup Dusun-01 + Anggota-01; TIDAK menyebut grup Pusat; TIDAK menyebut grup Dusun-02.</t>
  </si>
  <si>
    <t>C3</t>
  </si>
  <si>
    <t>Grup Anggota D1 - anggota se-dusun</t>
  </si>
  <si>
    <t>/tanya di grup Anggota-A (DSN-01). Pastikan ada pesan khas di grup Anggota-B (DSN-01) juga.</t>
  </si>
  <si>
    <t>Jawaban mencakup isi grup Anggota-A &amp; Anggota-B (DSN-01); TIDAK menyebut grup Dusun-01, Pusat, atau DSN-02.</t>
  </si>
  <si>
    <t>C4</t>
  </si>
  <si>
    <t>Isolasi antar-dusun</t>
  </si>
  <si>
    <t>/tanya di grup Anggota (DSN-02), tanyakan sesuatu yang cuma dibahas di grup DSN-01.</t>
  </si>
  <si>
    <t>Jawaban 'tidak tahu / tidak ada info' - data DSN-01 tidak bocor ke DSN-02.</t>
  </si>
  <si>
    <t>C5</t>
  </si>
  <si>
    <t>Grup belum dikategorikan</t>
  </si>
  <si>
    <t>/tanya sesuatu di grup yang scope-nya masih 'Belum diatur'.</t>
  </si>
  <si>
    <t>Balasan: 'Grup ini belum dikategorikan Pengurus, jadi /tanya belum aktif di sini.'</t>
  </si>
  <si>
    <t>C6</t>
  </si>
  <si>
    <t>Grup tanpa Dusun ID</t>
  </si>
  <si>
    <t>Set sebuah grup ke scope Anggota tapi kosongkan Dusun ID-nya, lalu /tanya di sana.</t>
  </si>
  <si>
    <t>Balasan: 'Grup ini belum punya Dusun ID. Minta Pengurus mengaturnya dulu.'</t>
  </si>
  <si>
    <t>C7</t>
  </si>
  <si>
    <t>Japri - nomor Pusat</t>
  </si>
  <si>
    <t>Dari nomor yang ikut grup Pusat, japri ke bot: /tanya ringkas aktivitas semua grup.</t>
  </si>
  <si>
    <t>Dijawab di japri dengan cakupan level Pusat (lintas dusun).</t>
  </si>
  <si>
    <t>C8</t>
  </si>
  <si>
    <t>Japri - nomor Dusun D1</t>
  </si>
  <si>
    <t>Dari nomor yang hanya ikut grup Dusun (DSN-01), japri /tanya.</t>
  </si>
  <si>
    <t>Jawaban lingkup DSN-01 saja; tidak ada info Pusat / DSN-02.</t>
  </si>
  <si>
    <t>C9</t>
  </si>
  <si>
    <t>Japri - nomor Anggota D1</t>
  </si>
  <si>
    <t>Dari nomor yang hanya ikut grup Anggota (DSN-01), japri /tanya.</t>
  </si>
  <si>
    <t>Jawaban hanya dari grup Anggota DSN-01.</t>
  </si>
  <si>
    <t>C10</t>
  </si>
  <si>
    <t>Japri - nomor asing</t>
  </si>
  <si>
    <t>Dari nomor yang tidak ikut grup mana pun (belum ter-sync), japri /tanya apa pun.</t>
  </si>
  <si>
    <t>Balasan: 'Maaf, nomor kamu belum terdaftar sebagai anggota grup mana pun... Kamu tetap bisa kirim ide lewat /ide.' Tidak ada informasi bocor.</t>
  </si>
  <si>
    <t>C11</t>
  </si>
  <si>
    <t>Anggota tanya spam</t>
  </si>
  <si>
    <t>Di grup Anggota (atau japri nomor Anggota): /tanya apakah ada spam?</t>
  </si>
  <si>
    <t>Jawaban mengarahkan ke Pengurus, TIDAK mengiyakan/membantah adanya spam.</t>
  </si>
  <si>
    <t>C12</t>
  </si>
  <si>
    <t>Spam 'hari ini' - framing benar</t>
  </si>
  <si>
    <t>1. Pastikan ada 1 peringatan spam bertanggal hari ini (lihat D1).
2. Di grup Pusat: /tanya apakah ada spam hari ini?</t>
  </si>
  <si>
    <t>Jawaban DIAWALI 'Ya, ada...', menyebut jam WIB &amp; skor. Tidak boleh diawali 'tidak ada' lalu menyebut peringatan hari ini.</t>
  </si>
  <si>
    <t>C13</t>
  </si>
  <si>
    <t>Peringatan spam per-dusun</t>
  </si>
  <si>
    <t>Buat spam di grup DSN-01. Lalu /tanya 'ada spam?' di grup Dusun DSN-01.</t>
  </si>
  <si>
    <t>Hanya peringatan dari grup DSN-01 yang disebut; peringatan dari japri atau grup Pusat tidak muncul.</t>
  </si>
  <si>
    <t>C14</t>
  </si>
  <si>
    <t>Isi &amp; nomor spam tidak dibocorkan</t>
  </si>
  <si>
    <t>Di grup Pusat: /tanya apa isi pesan spam terakhir dan dari nomor berapa?</t>
  </si>
  <si>
    <t>Jawaban menyebut ada peringatan (skor, tanggal, indikasi) tapi TIDAK mengutip teks scam mentah &amp; TIDAK menyebut nomor pengirim - arahkan ke dashboard.</t>
  </si>
  <si>
    <t>D1</t>
  </si>
  <si>
    <t>Deteksi Spam / Fraud</t>
  </si>
  <si>
    <t>Pesan spam terdeteksi</t>
  </si>
  <si>
    <t>Dari nomor uji kirim ke grup/japri: 'Selamat! Anda menang undian 100 juta. Klaim sekarang, transfer dulu 20 juta, buruan sebelum hangus!!!'</t>
  </si>
  <si>
    <t>Skor &gt;= 50; muncul di menu Spam Alert; badge angka di sidebar bertambah.</t>
  </si>
  <si>
    <t>D2</t>
  </si>
  <si>
    <t>Notifikasi WA ke Pusat - tanpa detail</t>
  </si>
  <si>
    <t>Cek pesan yang diterima nomor REPORT_TO_JID setelah D1.</t>
  </si>
  <si>
    <t>Persis: '*Peringatan Keamanan* Sistem mendeteksi dan menahan sebuah pesan yang terindikasi spam/penipuan.' - TANPA skor, nomor, atau isi pesan.</t>
  </si>
  <si>
    <t>D3</t>
  </si>
  <si>
    <t>Detail lengkap di dashboard</t>
  </si>
  <si>
    <t>Buka menu Spam Alert, tab Baru.</t>
  </si>
  <si>
    <t>Alert D1 tampil: skor, pengirim, isi pesan, indikasi 'money/transfer keywords' &amp; 'prize/lottery keywords'.</t>
  </si>
  <si>
    <t>D4</t>
  </si>
  <si>
    <t>Triase Pusat</t>
  </si>
  <si>
    <t>Klik 'Konfirmasi Spam' pada satu alert, 'Bukan Spam' pada lainnya.</t>
  </si>
  <si>
    <t>Status pindah ke tab Dikonfirmasi / Bukan Spam; badge sidebar berkurang.</t>
  </si>
  <si>
    <t>D5</t>
  </si>
  <si>
    <t>Pesan normal tidak jadi alert</t>
  </si>
  <si>
    <t>Kirim 'Besok kumpul jam 7 di balai desa ya, jangan telat'.</t>
  </si>
  <si>
    <t>Skor &lt; 50; TIDAK muncul di Spam Alert.</t>
  </si>
  <si>
    <t>E1</t>
  </si>
  <si>
    <t>Dashboard - Per Halaman</t>
  </si>
  <si>
    <t>Dashboard</t>
  </si>
  <si>
    <t>Buka menu Dashboard.</t>
  </si>
  <si>
    <t>Kartu Total Pesan / Ringkasan AI / Kontak Aktif berisi angka; grafik Peak Hours punya bar; kalender menyorot hari ini; donut Distribusi Grup tampil.</t>
  </si>
  <si>
    <t>E2</t>
  </si>
  <si>
    <t>Messages - filter &amp; trash</t>
  </si>
  <si>
    <t>1. Filter per chat/grup; ketik kata di kolom cari; ganti halaman.
2. Hapus 1 pesan -&gt; tab Riwayat -&gt; Restore -&gt; hapus permanen.</t>
  </si>
  <si>
    <t>Filter &amp; cari mempersempit daftar; pesan pindah ke Riwayat lalu bisa dikembalikan / dihapus permanen.</t>
  </si>
  <si>
    <t>E3</t>
  </si>
  <si>
    <t>Summaries - kelola &amp; export</t>
  </si>
  <si>
    <t>1. Buka Summaries (butuh minimal 1 ringkasan - lihat F1).
2. Tandai Dibaca / Penting / Trash. Klik Export.</t>
  </si>
  <si>
    <t>Penanda tersimpan; file .docx terunduh &amp; bisa dibuka di Word.</t>
  </si>
  <si>
    <t>E4</t>
  </si>
  <si>
    <t>Groups - scope, Dusun ID, tambah, hapus</t>
  </si>
  <si>
    <t>1. Ubah Scope via dropdown di tabel.
2. Grup Dusun/Anggota: ikon i -&gt; bagian DUSUN ID -&gt; pensil -&gt; isi kode.
3. Verifikasi: grup Pusat -&gt; bagian DUSUN ID tidak muncul di popup.
4. 'Tambah Grup / Kontak' manual; lalu hapus registrasinya.</t>
  </si>
  <si>
    <t>Semua aksi tersimpan; Dusun ID hanya bisa di-set untuk Dusun/Anggota.</t>
  </si>
  <si>
    <t>E5</t>
  </si>
  <si>
    <t>Infografis</t>
  </si>
  <si>
    <t>Buka menu Infografis.</t>
  </si>
  <si>
    <t>Peak Hours, Active vs Contributive, dan Groups by Dusun tampil. Grup ber-scope Pusat TIDAK ikut terhitung di 'Groups by Dusun'.</t>
  </si>
  <si>
    <t>E6</t>
  </si>
  <si>
    <t>Kelola Pesan - info terkurasi &amp; fan-out</t>
  </si>
  <si>
    <t>1. Buat info baru (beasiswa/loker/inovasi) -&gt; Draft.
2. Pilih grup target. Jadwalkan untuk 2 menit ke depan -&gt; status Scheduled. Atau klik Kirim Sekarang.</t>
  </si>
  <si>
    <t>Saat terkirim: pesan sampai ke semua grup target (dengan jeda antar-kirim), status jadi Terkirim, hasil per grup (berhasil/gagal) tampil, tercatat di Outbound logs.</t>
  </si>
  <si>
    <t>E7</t>
  </si>
  <si>
    <t>Pengingat Agenda</t>
  </si>
  <si>
    <t>1. Buat agenda: judul, tanggal &amp; jam due (mis. 5 menit ke depan), pengingat 1 (mis. 2 menit ke depan), audience.
2. Uji filter Semua / Akan datang / Sudah lewat. Edit lalu hapus agenda lain.</t>
  </si>
  <si>
    <t>Saat waktu pengingat tiba, pesan agenda terkirim ke audience; kartu menandai pengingat 'terkirim'.</t>
  </si>
  <si>
    <t>E8</t>
  </si>
  <si>
    <t>Antrian Ide (anonim)</t>
  </si>
  <si>
    <t>1. Japri ke bot: /ide gimana kalau kita bikin kas digital untuk iuran?
2. Buka menu Antrian Ide.</t>
  </si>
  <si>
    <t>Bot balas konfirmasi 'tercatat secara anonim'; ide muncul di daftar TANPA identitas pengirim; badge bertambah; tombol 'Tandai Ditinjau' bekerja.</t>
  </si>
  <si>
    <t>E9</t>
  </si>
  <si>
    <t>Tanya AI di dashboard</t>
  </si>
  <si>
    <t>1. Panel Tanya AI. Pilih 1 grup di pemilih grup, ajukan pertanyaan.
2. Ganti ke 'Semua grup', ajukan lagi.</t>
  </si>
  <si>
    <t>Dengan 1 grup: jawaban dari grup itu saja. 'Semua grup': jawaban lintas grup (dashboard = level Pusat).</t>
  </si>
  <si>
    <t>E10</t>
  </si>
  <si>
    <t>Update live (SSE)</t>
  </si>
  <si>
    <t>Biarkan dashboard terbuka. Dari nomor uji, kirim pesan spam &amp; pesan biasa.</t>
  </si>
  <si>
    <t>Badge Spam Alert / Antrian Ide dan status koneksi ter-update TANPA refresh.</t>
  </si>
  <si>
    <t>F1</t>
  </si>
  <si>
    <t>Job Terjadwal</t>
  </si>
  <si>
    <t>Digest / ringkasan harian</t>
  </si>
  <si>
    <t>curl -X POST localhost:3000/api/digest/run -H 'content-type: application/json' -d '{"last24h":true}'</t>
  </si>
  <si>
    <t>Respons berisi summaryId &amp; bodyMd; ringkasan muncul di menu Summaries; ringkasan terkirim ke REPORT_TO_JID.</t>
  </si>
  <si>
    <t>F2</t>
  </si>
  <si>
    <t>Analisis sentimen</t>
  </si>
  <si>
    <t>Cron jam 07:00. Uji cepat: cek endpoint /api/sentiments setelah ada data &amp; cron jalan.</t>
  </si>
  <si>
    <t>Dokumen sentimen dibuat untuk periode terakhir.</t>
  </si>
  <si>
    <t>F3</t>
  </si>
  <si>
    <t>Statistik mingguan</t>
  </si>
  <si>
    <t>Cron Senin 07:00 -&gt; pesan statistik ke REPORT_TO_JID.</t>
  </si>
  <si>
    <t>Pesan berisi peserta teraktif, jam puncak, jumlah grup per dusun.</t>
  </si>
  <si>
    <t>F4</t>
  </si>
  <si>
    <t>Auto-sync keanggotaan grup</t>
  </si>
  <si>
    <t>Restart backend, tunggu ~15 detik, lihat log.</t>
  </si>
  <si>
    <t>Baris log 'groups synced from WhatsApp'; kolom Jumlah Anggota di popup grup ter-refresh.</t>
  </si>
  <si>
    <t>F5</t>
  </si>
  <si>
    <t>Purge media / trash lama</t>
  </si>
  <si>
    <t>Cek folder prototype/media_storage/ &amp; pesan berstatus trash lama setelah job purge jalan.</t>
  </si>
  <si>
    <t>File media &amp; data trash yang melewati masa simpan terhapus; tidak ada error di log.</t>
  </si>
  <si>
    <t>G1</t>
  </si>
  <si>
    <t>Regresi Cepat (tiap deploy)</t>
  </si>
  <si>
    <t>Build bersih</t>
  </si>
  <si>
    <t>cd prototype &amp;&amp; npx tsc --noEmit ; lalu cd web &amp;&amp; npm run build</t>
  </si>
  <si>
    <t>Keduanya lulus tanpa error.</t>
  </si>
  <si>
    <t>G2</t>
  </si>
  <si>
    <t>Boot &amp; koneksi</t>
  </si>
  <si>
    <t>Start backend; cek /health; buka dashboard.</t>
  </si>
  <si>
    <t>connected:true; dashboard load tanpa error di console browser.</t>
  </si>
  <si>
    <t>G3</t>
  </si>
  <si>
    <t>Alur inti</t>
  </si>
  <si>
    <t>Kirim 1 pesan grup -&gt; muncul di Messages. /tanya di grup Pusat -&gt; ada jawaban (jika LLM aktif).</t>
  </si>
  <si>
    <t>Ingest &amp; /tanya berfungsi; tiap menu dashboard dibuka tanpa error.</t>
  </si>
  <si>
    <t>Ringkasan Uji ASA Bridge</t>
  </si>
  <si>
    <t>Total uji</t>
  </si>
  <si>
    <t>Lulus</t>
  </si>
  <si>
    <t>Gagal</t>
  </si>
  <si>
    <t>Terblok</t>
  </si>
  <si>
    <t>Belum diuji</t>
  </si>
  <si>
    <t>% Selesai (lulus/total)</t>
  </si>
  <si>
    <t>Per bagian (lulus / total)</t>
  </si>
  <si>
    <t>lulus</t>
  </si>
  <si>
    <t>total</t>
  </si>
  <si>
    <t>A. Persiapan &amp; Autentikasi</t>
  </si>
  <si>
    <t>B. Bridge WhatsApp - Terima &amp; Kirim</t>
  </si>
  <si>
    <t>C. /tanya &amp; ACL Pusat / Dusun / Anggota</t>
  </si>
  <si>
    <t>D. Deteksi Spam / Fraud</t>
  </si>
  <si>
    <t>E. Dashboard - Per Halaman</t>
  </si>
  <si>
    <t>F. Job Terjadwal</t>
  </si>
  <si>
    <t>G. Regresi Cepat (tiap deploy)</t>
  </si>
  <si>
    <t>Lingkungan &amp; data uji</t>
  </si>
  <si>
    <t>Backend `npm run dev` jalan; indikator CONNECTED hijau di topbar dashboard.</t>
  </si>
  <si>
    <t>Nomor WhatsApp uji sekali pakai + nomor bot + nomor REPORT_TO_JID (penerima notifikasi Pusat).</t>
  </si>
  <si>
    <t>Minimal grup, semua sudah di-set Scope + Dusun ID di menu Groups &amp; sudah di-Sync:</t>
  </si>
  <si>
    <t xml:space="preserve">    - 1 grup Pusat</t>
  </si>
  <si>
    <t xml:space="preserve">    - 1 grup Dusun, Dusun ID = DSN-01</t>
  </si>
  <si>
    <t xml:space="preserve">    - 2 grup Anggota, Dusun ID = DSN-01 (Anggota-A &amp; Anggota-B)</t>
  </si>
  <si>
    <t xml:space="preserve">    - 1 grup Anggota, Dusun ID = DSN-02</t>
  </si>
  <si>
    <t>Isi beberapa pesan berbeda di tiap grup dulu, supaya jawaban /tanya bisa dibedakan asal grupnya.</t>
  </si>
  <si>
    <t>Akun dashboard admin (Pusat).</t>
  </si>
  <si>
    <t>BLOCKER AKTIF - saldo LLM habis (402 Insufficient Balance)</t>
  </si>
  <si>
    <t>Semua uji 'Butuh LLM = Ya' akan gagal sampai:</t>
  </si>
  <si>
    <t xml:space="preserve">  (a) saldo DeepSeek diisi di platform.deepseek.com, atau</t>
  </si>
  <si>
    <t xml:space="preserve">  (b) LLM_BASE_URL + LLM_MODEL + DEEPSEEK_API_KEY di prototype/.env dialihkan ke provider lain:</t>
  </si>
  <si>
    <t xml:space="preserve">      Groq      -&gt; https://api.groq.com/openai/v1        model: llama-3.3-70b-versatile</t>
  </si>
  <si>
    <t xml:space="preserve">      OpenAI    -&gt; https://api.openai.com/v1             model: gpt-4o-mini</t>
  </si>
  <si>
    <t xml:space="preserve">      OpenRouter-&gt; https://openrouter.ai/api/v1          model: (pilih, ada yang :free)</t>
  </si>
  <si>
    <t xml:space="preserve">  lalu restart backend.</t>
  </si>
  <si>
    <t>Uji lain (non-LLM) tidak terpengaruh blocker ini.</t>
  </si>
  <si>
    <t>Model ACL v2 - ringkas</t>
  </si>
  <si>
    <t>Pusat     : lihat semua grup.</t>
  </si>
  <si>
    <t>Dusun-D   : lihat grup Dusun &amp; Anggota yang Dusun ID-nya = D. Tidak lihat Pusat / dusun lain.</t>
  </si>
  <si>
    <t>Anggota-D : lihat grup Anggota yang Dusun ID-nya = D saja.</t>
  </si>
  <si>
    <t>/tanya di grup : scope diambil dari grup itu.</t>
  </si>
  <si>
    <t>/tanya via japri: scope diambil dari grup mana saja nomor pengirim jadi anggotanya (tier tertinggi menang).</t>
  </si>
  <si>
    <t>Nomor japri tak terdaftar di grup mana pun -&gt; tidak dapat informasi (tapi /ide tetap jalan).</t>
  </si>
  <si>
    <t>Peringatan spam = data tingkat Pengurus: Pusat lihat semua, Dusun lihat lingkup dusunnya, Anggota tidak.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</si>
</sst>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4F5D13"/>
      <name val="Calibri"/>
    </font>
    <font>
      <sz val="11"/>
      <name val="Calibri"/>
    </font>
    <font>
      <b/>
      <sz val="11"/>
      <color rgb="FF4F5D13"/>
      <name val="Calibri"/>
    </font>
    <font>
      <i/>
      <sz val="9"/>
      <color rgb="FF8A8B7E"/>
      <name val="Calibri"/>
    </font>
    <font>
      <b/>
      <sz val="12"/>
      <color rgb="FF4F5D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67714"/>
      </patternFill>
    </fill>
    <fill>
      <patternFill patternType="solid">
        <fgColor rgb="FFE9EEF1"/>
      </patternFill>
    </fill>
    <fill>
      <patternFill patternType="solid">
        <fgColor rgb="FFEEF0DC"/>
      </patternFill>
    </fill>
  </fills>
  <borders count="2">
    <border>
      <left/>
      <right/>
      <top/>
      <bottom/>
      <diagonal/>
    </border>
    <border>
      <left style="thin">
        <color rgb="FFD9D7CA"/>
      </left>
      <right style="thin">
        <color rgb="FFD9D7CA"/>
      </right>
      <top style="thin">
        <color rgb="FFD9D7CA"/>
      </top>
      <bottom style="thin">
        <color rgb="FFD9D7C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9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ont>
        <color rgb="FFA86F1C"/>
      </font>
      <fill>
        <patternFill patternType="solid">
          <fgColor rgb="FFF5ECDA"/>
        </patternFill>
      </fill>
    </dxf>
    <dxf>
      <font>
        <color rgb="FFB33A3A"/>
      </font>
      <fill>
        <patternFill patternType="solid">
          <fgColor rgb="FFF6E6E4"/>
        </patternFill>
      </fill>
    </dxf>
    <dxf>
      <font>
        <color rgb="FF2F7D34"/>
      </font>
      <fill>
        <patternFill patternType="solid">
          <fgColor rgb="FFE6EF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1" sqref="H1:H1048576"/>
    </sheetView>
  </sheetViews>
  <sheetFormatPr defaultRowHeight="14.4" x14ac:dyDescent="0.3"/>
  <cols>
    <col min="1" max="1" width="7" customWidth="1"/>
    <col min="2" max="2" width="24" customWidth="1"/>
    <col min="3" max="3" width="30" customWidth="1"/>
    <col min="4" max="5" width="58" customWidth="1"/>
    <col min="6" max="6" width="11" customWidth="1"/>
    <col min="7" max="7" width="7" customWidth="1"/>
    <col min="8" max="8" width="12" customWidth="1"/>
    <col min="9" max="9" width="30" customWidth="1"/>
    <col min="10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2" t="s">
        <v>16</v>
      </c>
      <c r="G2" s="2" t="s">
        <v>16</v>
      </c>
      <c r="H2" s="2" t="s">
        <v>223</v>
      </c>
      <c r="I2" s="3"/>
      <c r="J2" s="3"/>
      <c r="K2" s="3"/>
    </row>
    <row r="3" spans="1:11" ht="28.8" x14ac:dyDescent="0.3">
      <c r="A3" s="2" t="s">
        <v>18</v>
      </c>
      <c r="B3" s="3" t="s">
        <v>12</v>
      </c>
      <c r="C3" s="3" t="s">
        <v>19</v>
      </c>
      <c r="D3" s="3" t="s">
        <v>20</v>
      </c>
      <c r="E3" s="3" t="s">
        <v>21</v>
      </c>
      <c r="F3" s="2" t="s">
        <v>16</v>
      </c>
      <c r="G3" s="2" t="s">
        <v>16</v>
      </c>
      <c r="H3" s="2" t="s">
        <v>17</v>
      </c>
      <c r="I3" s="3"/>
      <c r="J3" s="3"/>
      <c r="K3" s="3"/>
    </row>
    <row r="4" spans="1:11" ht="28.8" x14ac:dyDescent="0.3">
      <c r="A4" s="2" t="s">
        <v>22</v>
      </c>
      <c r="B4" s="3" t="s">
        <v>12</v>
      </c>
      <c r="C4" s="3" t="s">
        <v>23</v>
      </c>
      <c r="D4" s="3" t="s">
        <v>24</v>
      </c>
      <c r="E4" s="3" t="s">
        <v>25</v>
      </c>
      <c r="F4" s="2" t="s">
        <v>16</v>
      </c>
      <c r="G4" s="2" t="s">
        <v>16</v>
      </c>
      <c r="H4" s="2" t="s">
        <v>17</v>
      </c>
      <c r="I4" s="3"/>
      <c r="J4" s="3"/>
      <c r="K4" s="3"/>
    </row>
    <row r="5" spans="1:11" x14ac:dyDescent="0.3">
      <c r="A5" s="2" t="s">
        <v>26</v>
      </c>
      <c r="B5" s="3" t="s">
        <v>12</v>
      </c>
      <c r="C5" s="3" t="s">
        <v>27</v>
      </c>
      <c r="D5" s="3" t="s">
        <v>28</v>
      </c>
      <c r="E5" s="3" t="s">
        <v>29</v>
      </c>
      <c r="F5" s="2" t="s">
        <v>16</v>
      </c>
      <c r="G5" s="2" t="s">
        <v>16</v>
      </c>
      <c r="H5" s="2" t="s">
        <v>17</v>
      </c>
      <c r="I5" s="3"/>
      <c r="J5" s="3"/>
      <c r="K5" s="3"/>
    </row>
    <row r="6" spans="1:11" x14ac:dyDescent="0.3">
      <c r="A6" s="2" t="s">
        <v>30</v>
      </c>
      <c r="B6" s="3" t="s">
        <v>12</v>
      </c>
      <c r="C6" s="3" t="s">
        <v>31</v>
      </c>
      <c r="D6" s="3" t="s">
        <v>32</v>
      </c>
      <c r="E6" s="3" t="s">
        <v>33</v>
      </c>
      <c r="F6" s="2" t="s">
        <v>16</v>
      </c>
      <c r="G6" s="2" t="s">
        <v>16</v>
      </c>
      <c r="H6" s="2" t="s">
        <v>17</v>
      </c>
      <c r="I6" s="3"/>
      <c r="J6" s="3"/>
      <c r="K6" s="3"/>
    </row>
    <row r="7" spans="1:11" ht="28.8" x14ac:dyDescent="0.3">
      <c r="A7" s="2" t="s">
        <v>34</v>
      </c>
      <c r="B7" s="3" t="s">
        <v>12</v>
      </c>
      <c r="C7" s="3" t="s">
        <v>35</v>
      </c>
      <c r="D7" s="3" t="s">
        <v>36</v>
      </c>
      <c r="E7" s="3" t="s">
        <v>37</v>
      </c>
      <c r="F7" s="2" t="s">
        <v>16</v>
      </c>
      <c r="G7" s="2" t="s">
        <v>16</v>
      </c>
      <c r="H7" s="2" t="s">
        <v>17</v>
      </c>
      <c r="I7" s="3"/>
      <c r="J7" s="3"/>
      <c r="K7" s="3"/>
    </row>
    <row r="8" spans="1:11" ht="28.8" x14ac:dyDescent="0.3">
      <c r="A8" s="2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2" t="s">
        <v>16</v>
      </c>
      <c r="G8" s="2" t="s">
        <v>16</v>
      </c>
      <c r="H8" s="2" t="s">
        <v>17</v>
      </c>
      <c r="I8" s="3"/>
      <c r="J8" s="3"/>
      <c r="K8" s="3"/>
    </row>
    <row r="9" spans="1:11" ht="28.8" x14ac:dyDescent="0.3">
      <c r="A9" s="2" t="s">
        <v>43</v>
      </c>
      <c r="B9" s="3" t="s">
        <v>39</v>
      </c>
      <c r="C9" s="3" t="s">
        <v>44</v>
      </c>
      <c r="D9" s="3" t="s">
        <v>45</v>
      </c>
      <c r="E9" s="3" t="s">
        <v>46</v>
      </c>
      <c r="F9" s="2" t="s">
        <v>16</v>
      </c>
      <c r="G9" s="2" t="s">
        <v>16</v>
      </c>
      <c r="H9" s="2" t="s">
        <v>17</v>
      </c>
      <c r="I9" s="3"/>
      <c r="J9" s="3"/>
      <c r="K9" s="3"/>
    </row>
    <row r="10" spans="1:11" ht="28.8" x14ac:dyDescent="0.3">
      <c r="A10" s="2" t="s">
        <v>47</v>
      </c>
      <c r="B10" s="3" t="s">
        <v>39</v>
      </c>
      <c r="C10" s="3" t="s">
        <v>48</v>
      </c>
      <c r="D10" s="3" t="s">
        <v>49</v>
      </c>
      <c r="E10" s="3" t="s">
        <v>50</v>
      </c>
      <c r="F10" s="2" t="s">
        <v>16</v>
      </c>
      <c r="G10" s="2" t="s">
        <v>16</v>
      </c>
      <c r="H10" s="2" t="s">
        <v>17</v>
      </c>
      <c r="I10" s="3"/>
      <c r="J10" s="3"/>
      <c r="K10" s="3"/>
    </row>
    <row r="11" spans="1:11" ht="28.8" x14ac:dyDescent="0.3">
      <c r="A11" s="2" t="s">
        <v>51</v>
      </c>
      <c r="B11" s="3" t="s">
        <v>39</v>
      </c>
      <c r="C11" s="3" t="s">
        <v>52</v>
      </c>
      <c r="D11" s="3" t="s">
        <v>53</v>
      </c>
      <c r="E11" s="3" t="s">
        <v>54</v>
      </c>
      <c r="F11" s="2" t="s">
        <v>16</v>
      </c>
      <c r="G11" s="2" t="s">
        <v>16</v>
      </c>
      <c r="H11" s="2" t="s">
        <v>17</v>
      </c>
      <c r="I11" s="3"/>
      <c r="J11" s="3"/>
      <c r="K11" s="3"/>
    </row>
    <row r="12" spans="1:11" ht="28.8" x14ac:dyDescent="0.3">
      <c r="A12" s="2" t="s">
        <v>55</v>
      </c>
      <c r="B12" s="3" t="s">
        <v>39</v>
      </c>
      <c r="C12" s="3" t="s">
        <v>56</v>
      </c>
      <c r="D12" s="3" t="s">
        <v>57</v>
      </c>
      <c r="E12" s="3" t="s">
        <v>58</v>
      </c>
      <c r="F12" s="2" t="s">
        <v>16</v>
      </c>
      <c r="G12" s="2" t="s">
        <v>16</v>
      </c>
      <c r="H12" s="2" t="s">
        <v>17</v>
      </c>
      <c r="I12" s="3"/>
      <c r="J12" s="3"/>
      <c r="K12" s="3"/>
    </row>
    <row r="13" spans="1:11" ht="28.8" x14ac:dyDescent="0.3">
      <c r="A13" s="2" t="s">
        <v>59</v>
      </c>
      <c r="B13" s="3" t="s">
        <v>39</v>
      </c>
      <c r="C13" s="3" t="s">
        <v>60</v>
      </c>
      <c r="D13" s="3" t="s">
        <v>61</v>
      </c>
      <c r="E13" s="3" t="s">
        <v>62</v>
      </c>
      <c r="F13" s="2" t="s">
        <v>16</v>
      </c>
      <c r="G13" s="2" t="s">
        <v>16</v>
      </c>
      <c r="H13" s="2" t="s">
        <v>17</v>
      </c>
      <c r="I13" s="3"/>
      <c r="J13" s="3"/>
      <c r="K13" s="3"/>
    </row>
    <row r="14" spans="1:11" ht="28.8" x14ac:dyDescent="0.3">
      <c r="A14" s="2" t="s">
        <v>63</v>
      </c>
      <c r="B14" s="3" t="s">
        <v>39</v>
      </c>
      <c r="C14" s="3" t="s">
        <v>64</v>
      </c>
      <c r="D14" s="3" t="s">
        <v>65</v>
      </c>
      <c r="E14" s="3" t="s">
        <v>66</v>
      </c>
      <c r="F14" s="2" t="s">
        <v>16</v>
      </c>
      <c r="G14" s="2" t="s">
        <v>16</v>
      </c>
      <c r="H14" s="2" t="s">
        <v>17</v>
      </c>
      <c r="I14" s="3"/>
      <c r="J14" s="3"/>
      <c r="K14" s="3"/>
    </row>
    <row r="15" spans="1:11" ht="28.8" x14ac:dyDescent="0.3">
      <c r="A15" s="2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4" t="s">
        <v>72</v>
      </c>
      <c r="G15" s="5" t="s">
        <v>72</v>
      </c>
      <c r="H15" s="2" t="s">
        <v>17</v>
      </c>
      <c r="I15" s="3"/>
      <c r="J15" s="3"/>
      <c r="K15" s="3"/>
    </row>
    <row r="16" spans="1:11" ht="28.8" x14ac:dyDescent="0.3">
      <c r="A16" s="2" t="s">
        <v>73</v>
      </c>
      <c r="B16" s="3" t="s">
        <v>68</v>
      </c>
      <c r="C16" s="3" t="s">
        <v>74</v>
      </c>
      <c r="D16" s="3" t="s">
        <v>75</v>
      </c>
      <c r="E16" s="3" t="s">
        <v>76</v>
      </c>
      <c r="F16" s="4" t="s">
        <v>72</v>
      </c>
      <c r="G16" s="5" t="s">
        <v>72</v>
      </c>
      <c r="H16" s="2" t="s">
        <v>17</v>
      </c>
      <c r="I16" s="3"/>
      <c r="J16" s="3"/>
      <c r="K16" s="3"/>
    </row>
    <row r="17" spans="1:11" ht="28.8" x14ac:dyDescent="0.3">
      <c r="A17" s="2" t="s">
        <v>77</v>
      </c>
      <c r="B17" s="3" t="s">
        <v>68</v>
      </c>
      <c r="C17" s="3" t="s">
        <v>78</v>
      </c>
      <c r="D17" s="3" t="s">
        <v>79</v>
      </c>
      <c r="E17" s="3" t="s">
        <v>80</v>
      </c>
      <c r="F17" s="4" t="s">
        <v>72</v>
      </c>
      <c r="G17" s="5" t="s">
        <v>72</v>
      </c>
      <c r="H17" s="2" t="s">
        <v>17</v>
      </c>
      <c r="I17" s="3"/>
      <c r="J17" s="3"/>
      <c r="K17" s="3"/>
    </row>
    <row r="18" spans="1:11" ht="28.8" x14ac:dyDescent="0.3">
      <c r="A18" s="2" t="s">
        <v>81</v>
      </c>
      <c r="B18" s="3" t="s">
        <v>68</v>
      </c>
      <c r="C18" s="3" t="s">
        <v>82</v>
      </c>
      <c r="D18" s="3" t="s">
        <v>83</v>
      </c>
      <c r="E18" s="3" t="s">
        <v>84</v>
      </c>
      <c r="F18" s="4" t="s">
        <v>72</v>
      </c>
      <c r="G18" s="5" t="s">
        <v>72</v>
      </c>
      <c r="H18" s="2" t="s">
        <v>17</v>
      </c>
      <c r="I18" s="3"/>
      <c r="J18" s="3"/>
      <c r="K18" s="3"/>
    </row>
    <row r="19" spans="1:11" ht="28.8" x14ac:dyDescent="0.3">
      <c r="A19" s="2" t="s">
        <v>85</v>
      </c>
      <c r="B19" s="3" t="s">
        <v>68</v>
      </c>
      <c r="C19" s="3" t="s">
        <v>86</v>
      </c>
      <c r="D19" s="3" t="s">
        <v>87</v>
      </c>
      <c r="E19" s="3" t="s">
        <v>88</v>
      </c>
      <c r="F19" s="4" t="s">
        <v>72</v>
      </c>
      <c r="G19" s="2" t="s">
        <v>16</v>
      </c>
      <c r="H19" s="2" t="s">
        <v>17</v>
      </c>
      <c r="I19" s="3"/>
      <c r="J19" s="3"/>
      <c r="K19" s="3"/>
    </row>
    <row r="20" spans="1:11" ht="28.8" x14ac:dyDescent="0.3">
      <c r="A20" s="2" t="s">
        <v>89</v>
      </c>
      <c r="B20" s="3" t="s">
        <v>68</v>
      </c>
      <c r="C20" s="3" t="s">
        <v>90</v>
      </c>
      <c r="D20" s="3" t="s">
        <v>91</v>
      </c>
      <c r="E20" s="3" t="s">
        <v>92</v>
      </c>
      <c r="F20" s="4" t="s">
        <v>72</v>
      </c>
      <c r="G20" s="2" t="s">
        <v>16</v>
      </c>
      <c r="H20" s="2" t="s">
        <v>17</v>
      </c>
      <c r="I20" s="3"/>
      <c r="J20" s="3"/>
      <c r="K20" s="3"/>
    </row>
    <row r="21" spans="1:11" ht="28.8" x14ac:dyDescent="0.3">
      <c r="A21" s="2" t="s">
        <v>93</v>
      </c>
      <c r="B21" s="3" t="s">
        <v>68</v>
      </c>
      <c r="C21" s="3" t="s">
        <v>94</v>
      </c>
      <c r="D21" s="3" t="s">
        <v>95</v>
      </c>
      <c r="E21" s="3" t="s">
        <v>96</v>
      </c>
      <c r="F21" s="4" t="s">
        <v>72</v>
      </c>
      <c r="G21" s="5" t="s">
        <v>72</v>
      </c>
      <c r="H21" s="2" t="s">
        <v>17</v>
      </c>
      <c r="I21" s="3"/>
      <c r="J21" s="3"/>
      <c r="K21" s="3"/>
    </row>
    <row r="22" spans="1:11" ht="28.8" x14ac:dyDescent="0.3">
      <c r="A22" s="2" t="s">
        <v>97</v>
      </c>
      <c r="B22" s="3" t="s">
        <v>68</v>
      </c>
      <c r="C22" s="3" t="s">
        <v>98</v>
      </c>
      <c r="D22" s="3" t="s">
        <v>99</v>
      </c>
      <c r="E22" s="3" t="s">
        <v>100</v>
      </c>
      <c r="F22" s="4" t="s">
        <v>72</v>
      </c>
      <c r="G22" s="5" t="s">
        <v>72</v>
      </c>
      <c r="H22" s="2" t="s">
        <v>17</v>
      </c>
      <c r="I22" s="3"/>
      <c r="J22" s="3"/>
      <c r="K22" s="3"/>
    </row>
    <row r="23" spans="1:11" ht="28.8" x14ac:dyDescent="0.3">
      <c r="A23" s="2" t="s">
        <v>101</v>
      </c>
      <c r="B23" s="3" t="s">
        <v>68</v>
      </c>
      <c r="C23" s="3" t="s">
        <v>102</v>
      </c>
      <c r="D23" s="3" t="s">
        <v>103</v>
      </c>
      <c r="E23" s="3" t="s">
        <v>104</v>
      </c>
      <c r="F23" s="4" t="s">
        <v>72</v>
      </c>
      <c r="G23" s="5" t="s">
        <v>72</v>
      </c>
      <c r="H23" s="2" t="s">
        <v>17</v>
      </c>
      <c r="I23" s="3"/>
      <c r="J23" s="3"/>
      <c r="K23" s="3"/>
    </row>
    <row r="24" spans="1:11" ht="43.2" x14ac:dyDescent="0.3">
      <c r="A24" s="2" t="s">
        <v>105</v>
      </c>
      <c r="B24" s="3" t="s">
        <v>68</v>
      </c>
      <c r="C24" s="3" t="s">
        <v>106</v>
      </c>
      <c r="D24" s="3" t="s">
        <v>107</v>
      </c>
      <c r="E24" s="3" t="s">
        <v>108</v>
      </c>
      <c r="F24" s="4" t="s">
        <v>72</v>
      </c>
      <c r="G24" s="5" t="s">
        <v>72</v>
      </c>
      <c r="H24" s="2" t="s">
        <v>17</v>
      </c>
      <c r="I24" s="3"/>
      <c r="J24" s="3"/>
      <c r="K24" s="3"/>
    </row>
    <row r="25" spans="1:11" ht="28.8" x14ac:dyDescent="0.3">
      <c r="A25" s="2" t="s">
        <v>109</v>
      </c>
      <c r="B25" s="3" t="s">
        <v>68</v>
      </c>
      <c r="C25" s="3" t="s">
        <v>110</v>
      </c>
      <c r="D25" s="3" t="s">
        <v>111</v>
      </c>
      <c r="E25" s="3" t="s">
        <v>112</v>
      </c>
      <c r="F25" s="4" t="s">
        <v>72</v>
      </c>
      <c r="G25" s="2" t="s">
        <v>16</v>
      </c>
      <c r="H25" s="2" t="s">
        <v>17</v>
      </c>
      <c r="I25" s="3"/>
      <c r="J25" s="3"/>
      <c r="K25" s="3"/>
    </row>
    <row r="26" spans="1:11" ht="28.8" x14ac:dyDescent="0.3">
      <c r="A26" s="2" t="s">
        <v>113</v>
      </c>
      <c r="B26" s="3" t="s">
        <v>68</v>
      </c>
      <c r="C26" s="3" t="s">
        <v>114</v>
      </c>
      <c r="D26" s="3" t="s">
        <v>115</v>
      </c>
      <c r="E26" s="3" t="s">
        <v>116</v>
      </c>
      <c r="F26" s="4" t="s">
        <v>72</v>
      </c>
      <c r="G26" s="2" t="s">
        <v>16</v>
      </c>
      <c r="H26" s="2" t="s">
        <v>17</v>
      </c>
      <c r="I26" s="3"/>
      <c r="J26" s="3"/>
      <c r="K26" s="3"/>
    </row>
    <row r="27" spans="1:11" ht="28.8" x14ac:dyDescent="0.3">
      <c r="A27" s="2" t="s">
        <v>117</v>
      </c>
      <c r="B27" s="3" t="s">
        <v>68</v>
      </c>
      <c r="C27" s="3" t="s">
        <v>118</v>
      </c>
      <c r="D27" s="3" t="s">
        <v>119</v>
      </c>
      <c r="E27" s="3" t="s">
        <v>120</v>
      </c>
      <c r="F27" s="4" t="s">
        <v>72</v>
      </c>
      <c r="G27" s="2" t="s">
        <v>16</v>
      </c>
      <c r="H27" s="2" t="s">
        <v>17</v>
      </c>
      <c r="I27" s="3"/>
      <c r="J27" s="3"/>
      <c r="K27" s="3"/>
    </row>
    <row r="28" spans="1:11" ht="43.2" x14ac:dyDescent="0.3">
      <c r="A28" s="2" t="s">
        <v>121</v>
      </c>
      <c r="B28" s="3" t="s">
        <v>68</v>
      </c>
      <c r="C28" s="3" t="s">
        <v>122</v>
      </c>
      <c r="D28" s="3" t="s">
        <v>123</v>
      </c>
      <c r="E28" s="3" t="s">
        <v>124</v>
      </c>
      <c r="F28" s="4" t="s">
        <v>72</v>
      </c>
      <c r="G28" s="5" t="s">
        <v>72</v>
      </c>
      <c r="H28" s="2" t="s">
        <v>17</v>
      </c>
      <c r="I28" s="3"/>
      <c r="J28" s="3"/>
      <c r="K28" s="3"/>
    </row>
    <row r="29" spans="1:11" ht="43.2" x14ac:dyDescent="0.3">
      <c r="A29" s="2" t="s">
        <v>125</v>
      </c>
      <c r="B29" s="3" t="s">
        <v>126</v>
      </c>
      <c r="C29" s="3" t="s">
        <v>127</v>
      </c>
      <c r="D29" s="3" t="s">
        <v>128</v>
      </c>
      <c r="E29" s="3" t="s">
        <v>129</v>
      </c>
      <c r="F29" s="2" t="s">
        <v>16</v>
      </c>
      <c r="G29" s="2" t="s">
        <v>16</v>
      </c>
      <c r="H29" s="2" t="s">
        <v>17</v>
      </c>
      <c r="I29" s="3"/>
      <c r="J29" s="3"/>
      <c r="K29" s="3"/>
    </row>
    <row r="30" spans="1:11" ht="43.2" x14ac:dyDescent="0.3">
      <c r="A30" s="2" t="s">
        <v>130</v>
      </c>
      <c r="B30" s="3" t="s">
        <v>126</v>
      </c>
      <c r="C30" s="3" t="s">
        <v>131</v>
      </c>
      <c r="D30" s="3" t="s">
        <v>132</v>
      </c>
      <c r="E30" s="3" t="s">
        <v>133</v>
      </c>
      <c r="F30" s="2" t="s">
        <v>16</v>
      </c>
      <c r="G30" s="5" t="s">
        <v>72</v>
      </c>
      <c r="H30" s="2" t="s">
        <v>17</v>
      </c>
      <c r="I30" s="3"/>
      <c r="J30" s="3"/>
      <c r="K30" s="3"/>
    </row>
    <row r="31" spans="1:11" ht="28.8" x14ac:dyDescent="0.3">
      <c r="A31" s="2" t="s">
        <v>134</v>
      </c>
      <c r="B31" s="3" t="s">
        <v>126</v>
      </c>
      <c r="C31" s="3" t="s">
        <v>135</v>
      </c>
      <c r="D31" s="3" t="s">
        <v>136</v>
      </c>
      <c r="E31" s="3" t="s">
        <v>137</v>
      </c>
      <c r="F31" s="2" t="s">
        <v>16</v>
      </c>
      <c r="G31" s="2" t="s">
        <v>16</v>
      </c>
      <c r="H31" s="2" t="s">
        <v>17</v>
      </c>
      <c r="I31" s="3"/>
      <c r="J31" s="3"/>
      <c r="K31" s="3"/>
    </row>
    <row r="32" spans="1:11" ht="28.8" x14ac:dyDescent="0.3">
      <c r="A32" s="2" t="s">
        <v>138</v>
      </c>
      <c r="B32" s="3" t="s">
        <v>126</v>
      </c>
      <c r="C32" s="3" t="s">
        <v>139</v>
      </c>
      <c r="D32" s="3" t="s">
        <v>140</v>
      </c>
      <c r="E32" s="3" t="s">
        <v>141</v>
      </c>
      <c r="F32" s="2" t="s">
        <v>16</v>
      </c>
      <c r="G32" s="2" t="s">
        <v>16</v>
      </c>
      <c r="H32" s="2" t="s">
        <v>17</v>
      </c>
      <c r="I32" s="3"/>
      <c r="J32" s="3"/>
      <c r="K32" s="3"/>
    </row>
    <row r="33" spans="1:11" x14ac:dyDescent="0.3">
      <c r="A33" s="2" t="s">
        <v>142</v>
      </c>
      <c r="B33" s="3" t="s">
        <v>126</v>
      </c>
      <c r="C33" s="3" t="s">
        <v>143</v>
      </c>
      <c r="D33" s="3" t="s">
        <v>144</v>
      </c>
      <c r="E33" s="3" t="s">
        <v>145</v>
      </c>
      <c r="F33" s="2" t="s">
        <v>16</v>
      </c>
      <c r="G33" s="2" t="s">
        <v>16</v>
      </c>
      <c r="H33" s="2" t="s">
        <v>17</v>
      </c>
      <c r="I33" s="3"/>
      <c r="J33" s="3"/>
      <c r="K33" s="3"/>
    </row>
    <row r="34" spans="1:11" ht="43.2" x14ac:dyDescent="0.3">
      <c r="A34" s="2" t="s">
        <v>146</v>
      </c>
      <c r="B34" s="3" t="s">
        <v>147</v>
      </c>
      <c r="C34" s="3" t="s">
        <v>148</v>
      </c>
      <c r="D34" s="3" t="s">
        <v>149</v>
      </c>
      <c r="E34" s="3" t="s">
        <v>150</v>
      </c>
      <c r="F34" s="2" t="s">
        <v>16</v>
      </c>
      <c r="G34" s="2" t="s">
        <v>16</v>
      </c>
      <c r="H34" s="2" t="s">
        <v>17</v>
      </c>
      <c r="I34" s="3"/>
      <c r="J34" s="3"/>
      <c r="K34" s="3"/>
    </row>
    <row r="35" spans="1:11" ht="28.8" x14ac:dyDescent="0.3">
      <c r="A35" s="2" t="s">
        <v>151</v>
      </c>
      <c r="B35" s="3" t="s">
        <v>147</v>
      </c>
      <c r="C35" s="3" t="s">
        <v>152</v>
      </c>
      <c r="D35" s="3" t="s">
        <v>153</v>
      </c>
      <c r="E35" s="3" t="s">
        <v>154</v>
      </c>
      <c r="F35" s="2" t="s">
        <v>16</v>
      </c>
      <c r="G35" s="2" t="s">
        <v>16</v>
      </c>
      <c r="H35" s="2" t="s">
        <v>17</v>
      </c>
      <c r="I35" s="3"/>
      <c r="J35" s="3"/>
      <c r="K35" s="3"/>
    </row>
    <row r="36" spans="1:11" ht="28.8" x14ac:dyDescent="0.3">
      <c r="A36" s="2" t="s">
        <v>155</v>
      </c>
      <c r="B36" s="3" t="s">
        <v>147</v>
      </c>
      <c r="C36" s="3" t="s">
        <v>156</v>
      </c>
      <c r="D36" s="3" t="s">
        <v>157</v>
      </c>
      <c r="E36" s="3" t="s">
        <v>158</v>
      </c>
      <c r="F36" s="2" t="s">
        <v>16</v>
      </c>
      <c r="G36" s="2" t="s">
        <v>16</v>
      </c>
      <c r="H36" s="2" t="s">
        <v>17</v>
      </c>
      <c r="I36" s="3"/>
      <c r="J36" s="3"/>
      <c r="K36" s="3"/>
    </row>
    <row r="37" spans="1:11" ht="72" x14ac:dyDescent="0.3">
      <c r="A37" s="2" t="s">
        <v>159</v>
      </c>
      <c r="B37" s="3" t="s">
        <v>147</v>
      </c>
      <c r="C37" s="3" t="s">
        <v>160</v>
      </c>
      <c r="D37" s="3" t="s">
        <v>161</v>
      </c>
      <c r="E37" s="3" t="s">
        <v>162</v>
      </c>
      <c r="F37" s="2" t="s">
        <v>16</v>
      </c>
      <c r="G37" s="2" t="s">
        <v>16</v>
      </c>
      <c r="H37" s="2" t="s">
        <v>17</v>
      </c>
      <c r="I37" s="3"/>
      <c r="J37" s="3"/>
      <c r="K37" s="3"/>
    </row>
    <row r="38" spans="1:11" ht="28.8" x14ac:dyDescent="0.3">
      <c r="A38" s="2" t="s">
        <v>163</v>
      </c>
      <c r="B38" s="3" t="s">
        <v>147</v>
      </c>
      <c r="C38" s="3" t="s">
        <v>164</v>
      </c>
      <c r="D38" s="3" t="s">
        <v>165</v>
      </c>
      <c r="E38" s="3" t="s">
        <v>166</v>
      </c>
      <c r="F38" s="2" t="s">
        <v>16</v>
      </c>
      <c r="G38" s="2" t="s">
        <v>16</v>
      </c>
      <c r="H38" s="2" t="s">
        <v>17</v>
      </c>
      <c r="I38" s="3"/>
      <c r="J38" s="3"/>
      <c r="K38" s="3"/>
    </row>
    <row r="39" spans="1:11" ht="43.2" x14ac:dyDescent="0.3">
      <c r="A39" s="2" t="s">
        <v>167</v>
      </c>
      <c r="B39" s="3" t="s">
        <v>147</v>
      </c>
      <c r="C39" s="3" t="s">
        <v>168</v>
      </c>
      <c r="D39" s="3" t="s">
        <v>169</v>
      </c>
      <c r="E39" s="3" t="s">
        <v>170</v>
      </c>
      <c r="F39" s="2" t="s">
        <v>16</v>
      </c>
      <c r="G39" s="2" t="s">
        <v>16</v>
      </c>
      <c r="H39" s="2" t="s">
        <v>17</v>
      </c>
      <c r="I39" s="3"/>
      <c r="J39" s="3"/>
      <c r="K39" s="3"/>
    </row>
    <row r="40" spans="1:11" ht="57.6" x14ac:dyDescent="0.3">
      <c r="A40" s="2" t="s">
        <v>171</v>
      </c>
      <c r="B40" s="3" t="s">
        <v>147</v>
      </c>
      <c r="C40" s="3" t="s">
        <v>172</v>
      </c>
      <c r="D40" s="3" t="s">
        <v>173</v>
      </c>
      <c r="E40" s="3" t="s">
        <v>174</v>
      </c>
      <c r="F40" s="2" t="s">
        <v>16</v>
      </c>
      <c r="G40" s="2" t="s">
        <v>16</v>
      </c>
      <c r="H40" s="2" t="s">
        <v>17</v>
      </c>
      <c r="I40" s="3"/>
      <c r="J40" s="3"/>
      <c r="K40" s="3"/>
    </row>
    <row r="41" spans="1:11" ht="43.2" x14ac:dyDescent="0.3">
      <c r="A41" s="2" t="s">
        <v>175</v>
      </c>
      <c r="B41" s="3" t="s">
        <v>147</v>
      </c>
      <c r="C41" s="3" t="s">
        <v>176</v>
      </c>
      <c r="D41" s="3" t="s">
        <v>177</v>
      </c>
      <c r="E41" s="3" t="s">
        <v>178</v>
      </c>
      <c r="F41" s="2" t="s">
        <v>16</v>
      </c>
      <c r="G41" s="2" t="s">
        <v>16</v>
      </c>
      <c r="H41" s="2" t="s">
        <v>17</v>
      </c>
      <c r="I41" s="3"/>
      <c r="J41" s="3"/>
      <c r="K41" s="3"/>
    </row>
    <row r="42" spans="1:11" ht="28.8" x14ac:dyDescent="0.3">
      <c r="A42" s="2" t="s">
        <v>179</v>
      </c>
      <c r="B42" s="3" t="s">
        <v>147</v>
      </c>
      <c r="C42" s="3" t="s">
        <v>180</v>
      </c>
      <c r="D42" s="3" t="s">
        <v>181</v>
      </c>
      <c r="E42" s="3" t="s">
        <v>182</v>
      </c>
      <c r="F42" s="4" t="s">
        <v>72</v>
      </c>
      <c r="G42" s="2" t="s">
        <v>16</v>
      </c>
      <c r="H42" s="2" t="s">
        <v>17</v>
      </c>
      <c r="I42" s="3"/>
      <c r="J42" s="3"/>
      <c r="K42" s="3"/>
    </row>
    <row r="43" spans="1:11" ht="28.8" x14ac:dyDescent="0.3">
      <c r="A43" s="2" t="s">
        <v>183</v>
      </c>
      <c r="B43" s="3" t="s">
        <v>147</v>
      </c>
      <c r="C43" s="3" t="s">
        <v>184</v>
      </c>
      <c r="D43" s="3" t="s">
        <v>185</v>
      </c>
      <c r="E43" s="3" t="s">
        <v>186</v>
      </c>
      <c r="F43" s="2" t="s">
        <v>16</v>
      </c>
      <c r="G43" s="2" t="s">
        <v>16</v>
      </c>
      <c r="H43" s="2" t="s">
        <v>17</v>
      </c>
      <c r="I43" s="3"/>
      <c r="J43" s="3"/>
      <c r="K43" s="3"/>
    </row>
    <row r="44" spans="1:11" ht="28.8" x14ac:dyDescent="0.3">
      <c r="A44" s="2" t="s">
        <v>187</v>
      </c>
      <c r="B44" s="3" t="s">
        <v>188</v>
      </c>
      <c r="C44" s="3" t="s">
        <v>189</v>
      </c>
      <c r="D44" s="3" t="s">
        <v>190</v>
      </c>
      <c r="E44" s="3" t="s">
        <v>191</v>
      </c>
      <c r="F44" s="4" t="s">
        <v>72</v>
      </c>
      <c r="G44" s="2" t="s">
        <v>16</v>
      </c>
      <c r="H44" s="2" t="s">
        <v>17</v>
      </c>
      <c r="I44" s="3"/>
      <c r="J44" s="3"/>
      <c r="K44" s="3"/>
    </row>
    <row r="45" spans="1:11" ht="28.8" x14ac:dyDescent="0.3">
      <c r="A45" s="2" t="s">
        <v>192</v>
      </c>
      <c r="B45" s="3" t="s">
        <v>188</v>
      </c>
      <c r="C45" s="3" t="s">
        <v>193</v>
      </c>
      <c r="D45" s="3" t="s">
        <v>194</v>
      </c>
      <c r="E45" s="3" t="s">
        <v>195</v>
      </c>
      <c r="F45" s="4" t="s">
        <v>72</v>
      </c>
      <c r="G45" s="2" t="s">
        <v>16</v>
      </c>
      <c r="H45" s="2" t="s">
        <v>17</v>
      </c>
      <c r="I45" s="3"/>
      <c r="J45" s="3"/>
      <c r="K45" s="3"/>
    </row>
    <row r="46" spans="1:11" x14ac:dyDescent="0.3">
      <c r="A46" s="2" t="s">
        <v>196</v>
      </c>
      <c r="B46" s="3" t="s">
        <v>188</v>
      </c>
      <c r="C46" s="3" t="s">
        <v>197</v>
      </c>
      <c r="D46" s="3" t="s">
        <v>198</v>
      </c>
      <c r="E46" s="3" t="s">
        <v>199</v>
      </c>
      <c r="F46" s="2" t="s">
        <v>16</v>
      </c>
      <c r="G46" s="2" t="s">
        <v>16</v>
      </c>
      <c r="H46" s="2" t="s">
        <v>17</v>
      </c>
      <c r="I46" s="3"/>
      <c r="J46" s="3"/>
      <c r="K46" s="3"/>
    </row>
    <row r="47" spans="1:11" ht="28.8" x14ac:dyDescent="0.3">
      <c r="A47" s="2" t="s">
        <v>200</v>
      </c>
      <c r="B47" s="3" t="s">
        <v>188</v>
      </c>
      <c r="C47" s="3" t="s">
        <v>201</v>
      </c>
      <c r="D47" s="3" t="s">
        <v>202</v>
      </c>
      <c r="E47" s="3" t="s">
        <v>203</v>
      </c>
      <c r="F47" s="2" t="s">
        <v>16</v>
      </c>
      <c r="G47" s="2" t="s">
        <v>16</v>
      </c>
      <c r="H47" s="2" t="s">
        <v>17</v>
      </c>
      <c r="I47" s="3"/>
      <c r="J47" s="3"/>
      <c r="K47" s="3"/>
    </row>
    <row r="48" spans="1:11" ht="28.8" x14ac:dyDescent="0.3">
      <c r="A48" s="2" t="s">
        <v>204</v>
      </c>
      <c r="B48" s="3" t="s">
        <v>188</v>
      </c>
      <c r="C48" s="3" t="s">
        <v>205</v>
      </c>
      <c r="D48" s="3" t="s">
        <v>206</v>
      </c>
      <c r="E48" s="3" t="s">
        <v>207</v>
      </c>
      <c r="F48" s="2" t="s">
        <v>16</v>
      </c>
      <c r="G48" s="2" t="s">
        <v>16</v>
      </c>
      <c r="H48" s="2" t="s">
        <v>17</v>
      </c>
      <c r="I48" s="3"/>
      <c r="J48" s="3"/>
      <c r="K48" s="3"/>
    </row>
    <row r="49" spans="1:11" x14ac:dyDescent="0.3">
      <c r="A49" s="2" t="s">
        <v>208</v>
      </c>
      <c r="B49" s="3" t="s">
        <v>209</v>
      </c>
      <c r="C49" s="3" t="s">
        <v>210</v>
      </c>
      <c r="D49" s="3" t="s">
        <v>211</v>
      </c>
      <c r="E49" s="3" t="s">
        <v>212</v>
      </c>
      <c r="F49" s="2" t="s">
        <v>16</v>
      </c>
      <c r="G49" s="2" t="s">
        <v>16</v>
      </c>
      <c r="H49" s="2" t="s">
        <v>17</v>
      </c>
      <c r="I49" s="3"/>
      <c r="J49" s="3"/>
      <c r="K49" s="3"/>
    </row>
    <row r="50" spans="1:11" x14ac:dyDescent="0.3">
      <c r="A50" s="2" t="s">
        <v>213</v>
      </c>
      <c r="B50" s="3" t="s">
        <v>209</v>
      </c>
      <c r="C50" s="3" t="s">
        <v>214</v>
      </c>
      <c r="D50" s="3" t="s">
        <v>215</v>
      </c>
      <c r="E50" s="3" t="s">
        <v>216</v>
      </c>
      <c r="F50" s="2" t="s">
        <v>16</v>
      </c>
      <c r="G50" s="2" t="s">
        <v>16</v>
      </c>
      <c r="H50" s="2" t="s">
        <v>17</v>
      </c>
      <c r="I50" s="3"/>
      <c r="J50" s="3"/>
      <c r="K50" s="3"/>
    </row>
    <row r="51" spans="1:11" ht="28.8" x14ac:dyDescent="0.3">
      <c r="A51" s="2" t="s">
        <v>217</v>
      </c>
      <c r="B51" s="3" t="s">
        <v>209</v>
      </c>
      <c r="C51" s="3" t="s">
        <v>218</v>
      </c>
      <c r="D51" s="3" t="s">
        <v>219</v>
      </c>
      <c r="E51" s="3" t="s">
        <v>220</v>
      </c>
      <c r="F51" s="2" t="s">
        <v>16</v>
      </c>
      <c r="G51" s="2" t="s">
        <v>16</v>
      </c>
      <c r="H51" s="2" t="s">
        <v>17</v>
      </c>
      <c r="I51" s="3"/>
      <c r="J51" s="3"/>
      <c r="K51" s="3"/>
    </row>
  </sheetData>
  <autoFilter ref="A1:K51" xr:uid="{00000000-0009-0000-0000-000000000000}"/>
  <conditionalFormatting sqref="H2:H51">
    <cfRule type="cellIs" dxfId="2" priority="1" operator="equal">
      <formula>"Lulus"</formula>
    </cfRule>
    <cfRule type="cellIs" dxfId="1" priority="2" operator="equal">
      <formula>"Gagal"</formula>
    </cfRule>
    <cfRule type="cellIs" dxfId="0" priority="3" operator="equal">
      <formula>"Terblok"</formula>
    </cfRule>
  </conditionalFormatting>
  <dataValidations count="1">
    <dataValidation type="list" sqref="H2:H51" xr:uid="{00000000-0002-0000-0000-000000000000}">
      <formula1>"Belum,Lulus,Gagal,Terblok"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.4" x14ac:dyDescent="0.3"/>
  <cols>
    <col min="1" max="1" width="40" customWidth="1"/>
    <col min="2" max="2" width="16" customWidth="1"/>
    <col min="3" max="3" width="10" customWidth="1"/>
  </cols>
  <sheetData>
    <row r="1" spans="1:3" ht="18" x14ac:dyDescent="0.35">
      <c r="A1" s="6" t="s">
        <v>221</v>
      </c>
    </row>
    <row r="3" spans="1:3" x14ac:dyDescent="0.3">
      <c r="A3" s="7" t="s">
        <v>222</v>
      </c>
      <c r="B3">
        <f>COUNTA('Checklist Uji'!$A$2:$A$51)</f>
        <v>50</v>
      </c>
    </row>
    <row r="4" spans="1:3" x14ac:dyDescent="0.3">
      <c r="A4" s="7" t="s">
        <v>223</v>
      </c>
      <c r="B4">
        <f>COUNTIF('Checklist Uji'!$H$2:$H$51,"Lulus")</f>
        <v>1</v>
      </c>
    </row>
    <row r="5" spans="1:3" x14ac:dyDescent="0.3">
      <c r="A5" s="7" t="s">
        <v>224</v>
      </c>
      <c r="B5">
        <f>COUNTIF('Checklist Uji'!$H$2:$H$51,"Gagal")</f>
        <v>0</v>
      </c>
    </row>
    <row r="6" spans="1:3" x14ac:dyDescent="0.3">
      <c r="A6" s="7" t="s">
        <v>225</v>
      </c>
      <c r="B6">
        <f>COUNTIF('Checklist Uji'!$H$2:$H$51,"Terblok")</f>
        <v>0</v>
      </c>
    </row>
    <row r="7" spans="1:3" x14ac:dyDescent="0.3">
      <c r="A7" s="7" t="s">
        <v>226</v>
      </c>
      <c r="B7">
        <f>COUNTIF('Checklist Uji'!$H$2:$H$51,"Belum")</f>
        <v>49</v>
      </c>
    </row>
    <row r="8" spans="1:3" x14ac:dyDescent="0.3">
      <c r="A8" s="7" t="s">
        <v>227</v>
      </c>
      <c r="B8" s="8">
        <f>IFERROR(COUNTIF('Checklist Uji'!$H$2:$H$51,"Lulus")/COUNTA('Checklist Uji'!$A$2:$A$51),0)</f>
        <v>0.02</v>
      </c>
    </row>
    <row r="11" spans="1:3" x14ac:dyDescent="0.3">
      <c r="A11" s="9" t="s">
        <v>228</v>
      </c>
      <c r="B11" s="10" t="s">
        <v>229</v>
      </c>
      <c r="C11" s="10" t="s">
        <v>230</v>
      </c>
    </row>
    <row r="12" spans="1:3" x14ac:dyDescent="0.3">
      <c r="A12" t="s">
        <v>231</v>
      </c>
      <c r="B12">
        <f>COUNTIFS('Checklist Uji'!$B$2:$B$51,"Persiapan &amp; Autentikasi",'Checklist Uji'!$H$2:$H$51,"Lulus")</f>
        <v>1</v>
      </c>
      <c r="C12">
        <v>6</v>
      </c>
    </row>
    <row r="13" spans="1:3" x14ac:dyDescent="0.3">
      <c r="A13" t="s">
        <v>232</v>
      </c>
      <c r="B13">
        <f>COUNTIFS('Checklist Uji'!$B$2:$B$51,"Bridge WhatsApp - Terima &amp; Kirim",'Checklist Uji'!$H$2:$H$51,"Lulus")</f>
        <v>0</v>
      </c>
      <c r="C13">
        <v>7</v>
      </c>
    </row>
    <row r="14" spans="1:3" x14ac:dyDescent="0.3">
      <c r="A14" t="s">
        <v>233</v>
      </c>
      <c r="B14">
        <f>COUNTIFS('Checklist Uji'!$B$2:$B$51,"/tanya &amp; ACL Pusat / Dusun / Anggota",'Checklist Uji'!$H$2:$H$51,"Lulus")</f>
        <v>0</v>
      </c>
      <c r="C14">
        <v>14</v>
      </c>
    </row>
    <row r="15" spans="1:3" x14ac:dyDescent="0.3">
      <c r="A15" t="s">
        <v>234</v>
      </c>
      <c r="B15">
        <f>COUNTIFS('Checklist Uji'!$B$2:$B$51,"Deteksi Spam / Fraud",'Checklist Uji'!$H$2:$H$51,"Lulus")</f>
        <v>0</v>
      </c>
      <c r="C15">
        <v>5</v>
      </c>
    </row>
    <row r="16" spans="1:3" x14ac:dyDescent="0.3">
      <c r="A16" t="s">
        <v>235</v>
      </c>
      <c r="B16">
        <f>COUNTIFS('Checklist Uji'!$B$2:$B$51,"Dashboard - Per Halaman",'Checklist Uji'!$H$2:$H$51,"Lulus")</f>
        <v>0</v>
      </c>
      <c r="C16">
        <v>10</v>
      </c>
    </row>
    <row r="17" spans="1:3" x14ac:dyDescent="0.3">
      <c r="A17" t="s">
        <v>236</v>
      </c>
      <c r="B17">
        <f>COUNTIFS('Checklist Uji'!$B$2:$B$51,"Job Terjadwal",'Checklist Uji'!$H$2:$H$51,"Lulus")</f>
        <v>0</v>
      </c>
      <c r="C17">
        <v>5</v>
      </c>
    </row>
    <row r="18" spans="1:3" x14ac:dyDescent="0.3">
      <c r="A18" t="s">
        <v>237</v>
      </c>
      <c r="B18">
        <f>COUNTIFS('Checklist Uji'!$B$2:$B$51,"Regresi Cepat (tiap deploy)",'Checklist Uji'!$H$2:$H$51,"Lulus")</f>
        <v>0</v>
      </c>
      <c r="C18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workbookViewId="0"/>
  </sheetViews>
  <sheetFormatPr defaultRowHeight="14.4" x14ac:dyDescent="0.3"/>
  <cols>
    <col min="1" max="1" width="110" customWidth="1"/>
  </cols>
  <sheetData>
    <row r="1" spans="1:1" ht="15.6" x14ac:dyDescent="0.3">
      <c r="A1" s="11" t="s">
        <v>238</v>
      </c>
    </row>
    <row r="2" spans="1:1" x14ac:dyDescent="0.3">
      <c r="A2" s="12"/>
    </row>
    <row r="3" spans="1:1" x14ac:dyDescent="0.3">
      <c r="A3" s="12" t="s">
        <v>239</v>
      </c>
    </row>
    <row r="4" spans="1:1" x14ac:dyDescent="0.3">
      <c r="A4" s="12" t="s">
        <v>240</v>
      </c>
    </row>
    <row r="5" spans="1:1" x14ac:dyDescent="0.3">
      <c r="A5" s="12" t="s">
        <v>241</v>
      </c>
    </row>
    <row r="6" spans="1:1" x14ac:dyDescent="0.3">
      <c r="A6" s="12" t="s">
        <v>242</v>
      </c>
    </row>
    <row r="7" spans="1:1" x14ac:dyDescent="0.3">
      <c r="A7" s="12" t="s">
        <v>243</v>
      </c>
    </row>
    <row r="8" spans="1:1" x14ac:dyDescent="0.3">
      <c r="A8" s="12" t="s">
        <v>244</v>
      </c>
    </row>
    <row r="9" spans="1:1" x14ac:dyDescent="0.3">
      <c r="A9" s="12" t="s">
        <v>245</v>
      </c>
    </row>
    <row r="10" spans="1:1" x14ac:dyDescent="0.3">
      <c r="A10" s="12" t="s">
        <v>246</v>
      </c>
    </row>
    <row r="11" spans="1:1" x14ac:dyDescent="0.3">
      <c r="A11" s="12" t="s">
        <v>247</v>
      </c>
    </row>
    <row r="12" spans="1:1" x14ac:dyDescent="0.3">
      <c r="A12" s="12"/>
    </row>
    <row r="13" spans="1:1" ht="15.6" x14ac:dyDescent="0.3">
      <c r="A13" s="11" t="s">
        <v>248</v>
      </c>
    </row>
    <row r="14" spans="1:1" x14ac:dyDescent="0.3">
      <c r="A14" s="12"/>
    </row>
    <row r="15" spans="1:1" x14ac:dyDescent="0.3">
      <c r="A15" s="12" t="s">
        <v>249</v>
      </c>
    </row>
    <row r="16" spans="1:1" x14ac:dyDescent="0.3">
      <c r="A16" s="12" t="s">
        <v>250</v>
      </c>
    </row>
    <row r="17" spans="1:1" x14ac:dyDescent="0.3">
      <c r="A17" s="12" t="s">
        <v>251</v>
      </c>
    </row>
    <row r="18" spans="1:1" x14ac:dyDescent="0.3">
      <c r="A18" s="12" t="s">
        <v>252</v>
      </c>
    </row>
    <row r="19" spans="1:1" x14ac:dyDescent="0.3">
      <c r="A19" s="12" t="s">
        <v>253</v>
      </c>
    </row>
    <row r="20" spans="1:1" x14ac:dyDescent="0.3">
      <c r="A20" s="12" t="s">
        <v>254</v>
      </c>
    </row>
    <row r="21" spans="1:1" x14ac:dyDescent="0.3">
      <c r="A21" s="12" t="s">
        <v>255</v>
      </c>
    </row>
    <row r="22" spans="1:1" x14ac:dyDescent="0.3">
      <c r="A22" s="12"/>
    </row>
    <row r="23" spans="1:1" x14ac:dyDescent="0.3">
      <c r="A23" s="12" t="s">
        <v>256</v>
      </c>
    </row>
    <row r="24" spans="1:1" x14ac:dyDescent="0.3">
      <c r="A24" s="12"/>
    </row>
    <row r="25" spans="1:1" ht="15.6" x14ac:dyDescent="0.3">
      <c r="A25" s="11" t="s">
        <v>257</v>
      </c>
    </row>
    <row r="26" spans="1:1" x14ac:dyDescent="0.3">
      <c r="A26" s="12"/>
    </row>
    <row r="27" spans="1:1" x14ac:dyDescent="0.3">
      <c r="A27" s="12" t="s">
        <v>258</v>
      </c>
    </row>
    <row r="28" spans="1:1" x14ac:dyDescent="0.3">
      <c r="A28" s="12" t="s">
        <v>259</v>
      </c>
    </row>
    <row r="29" spans="1:1" x14ac:dyDescent="0.3">
      <c r="A29" s="12" t="s">
        <v>260</v>
      </c>
    </row>
    <row r="30" spans="1:1" x14ac:dyDescent="0.3">
      <c r="A30" s="12" t="s">
        <v>261</v>
      </c>
    </row>
    <row r="31" spans="1:1" x14ac:dyDescent="0.3">
      <c r="A31" s="12" t="s">
        <v>262</v>
      </c>
    </row>
    <row r="32" spans="1:1" x14ac:dyDescent="0.3">
      <c r="A32" s="12" t="s">
        <v>263</v>
      </c>
    </row>
    <row r="33" spans="1:1" x14ac:dyDescent="0.3">
      <c r="A33" s="12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 Uji</vt:lpstr>
      <vt:lpstr>Ringkasan</vt:lpstr>
      <vt:lpstr>Persiapan &amp; Blocker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pluto13657</cp:lastModifiedBy>
  <dcterms:created xsi:type="dcterms:W3CDTF">2026-08-31T04:12:06Z</dcterms:created>
  <dcterms:modified xsi:type="dcterms:W3CDTF">2026-08-31T06:07:46Z</dcterms:modified>
</cp:coreProperties>
</file>